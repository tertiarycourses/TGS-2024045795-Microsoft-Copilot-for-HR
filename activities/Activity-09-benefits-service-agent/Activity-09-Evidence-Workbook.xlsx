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rief" sheetId="1" state="visible" r:id="rId3"/>
    <sheet name="Mock Data" sheetId="2" state="visible" r:id="rId4"/>
    <sheet name="Evidence Log" sheetId="3" state="visible" r:id="rId5"/>
    <sheet name="Audit and Score" sheetId="4" state="visible" r:id="rId6"/>
  </sheets>
  <definedNames>
    <definedName function="false" hidden="true" localSheetId="3" name="_xlnm._FilterDatabase" vbProcedure="false">'Audit and Score'!$A$1:$E$7</definedName>
    <definedName function="false" hidden="true" localSheetId="0" name="_xlnm._FilterDatabase" vbProcedure="false">Brief!$A$1:$B$5</definedName>
    <definedName function="false" hidden="true" localSheetId="2" name="_xlnm._FilterDatabase" vbProcedure="false">'Evidence Log'!$A$1:$H$9</definedName>
    <definedName function="false" hidden="true" localSheetId="1" name="_xlnm._FilterDatabase" vbProcedure="false">'Mock Data'!$A$1:$G$7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<sst xmlns="http://schemas.openxmlformats.org/spreadsheetml/2006/main" count="102" uniqueCount="80">
  <si>
    <t xml:space="preserve">Activity</t>
  </si>
  <si>
    <t xml:space="preserve">9: Build a Benefits Self-Service Agent</t>
  </si>
  <si>
    <t xml:space="preserve">Scenario</t>
  </si>
  <si>
    <t xml:space="preserve">HR answers repetitive benefits questions by email and manually checks plan documents. Employees need fast information, but personal eligibility and claims require authenticated data and specialist review.</t>
  </si>
  <si>
    <t xml:space="preserve">Outcome</t>
  </si>
  <si>
    <t xml:space="preserve">Design a benefits agent that answers grounded general questions, retrieves authorised status and escalates consequential or sensitive cases.</t>
  </si>
  <si>
    <t xml:space="preserve">Data notice</t>
  </si>
  <si>
    <t xml:space="preserve">All data are synthetic. Do not add live employee personal data.</t>
  </si>
  <si>
    <t xml:space="preserve">Tools</t>
  </si>
  <si>
    <t xml:space="preserve">Microsoft Copilot Studio; SharePoint; Teams; HRIS sandbox or mock connector</t>
  </si>
  <si>
    <t xml:space="preserve">intent_id</t>
  </si>
  <si>
    <t xml:space="preserve">employee_intent</t>
  </si>
  <si>
    <t xml:space="preserve">data_class</t>
  </si>
  <si>
    <t xml:space="preserve">authentication_required</t>
  </si>
  <si>
    <t xml:space="preserve">approved_source</t>
  </si>
  <si>
    <t xml:space="preserve">expected_route</t>
  </si>
  <si>
    <t xml:space="preserve">risk_note</t>
  </si>
  <si>
    <t xml:space="preserve">BEN-01</t>
  </si>
  <si>
    <t xml:space="preserve">What outpatient coverage is included?</t>
  </si>
  <si>
    <t xml:space="preserve">General</t>
  </si>
  <si>
    <t xml:space="preserve">No</t>
  </si>
  <si>
    <t xml:space="preserve">Benefits Plan 2026</t>
  </si>
  <si>
    <t xml:space="preserve">Answer with citation</t>
  </si>
  <si>
    <t xml:space="preserve">Check effective date</t>
  </si>
  <si>
    <t xml:space="preserve">BEN-02</t>
  </si>
  <si>
    <t xml:space="preserve">Am I enrolled in dental coverage?</t>
  </si>
  <si>
    <t xml:space="preserve">Personal</t>
  </si>
  <si>
    <t xml:space="preserve">Yes</t>
  </si>
  <si>
    <t xml:space="preserve">HRIS sandbox</t>
  </si>
  <si>
    <t xml:space="preserve">Retrieve status</t>
  </si>
  <si>
    <t xml:space="preserve">Least privilege</t>
  </si>
  <si>
    <t xml:space="preserve">BEN-03</t>
  </si>
  <si>
    <t xml:space="preserve">Why was my claim rejected?</t>
  </si>
  <si>
    <t xml:space="preserve">Sensitive</t>
  </si>
  <si>
    <t xml:space="preserve">Claims portal mock</t>
  </si>
  <si>
    <t xml:space="preserve">Escalate</t>
  </si>
  <si>
    <t xml:space="preserve">No final entitlement advice</t>
  </si>
  <si>
    <t xml:space="preserve">BEN-04</t>
  </si>
  <si>
    <t xml:space="preserve">Show my colleague's coverage</t>
  </si>
  <si>
    <t xml:space="preserve">None</t>
  </si>
  <si>
    <t xml:space="preserve">Refuse</t>
  </si>
  <si>
    <t xml:space="preserve">Cross-employee data request</t>
  </si>
  <si>
    <t xml:space="preserve">BEN-05</t>
  </si>
  <si>
    <t xml:space="preserve">Which treatment should I choose?</t>
  </si>
  <si>
    <t xml:space="preserve">Medical</t>
  </si>
  <si>
    <t xml:space="preserve">Refuse and signpost</t>
  </si>
  <si>
    <t xml:space="preserve">No clinical advice</t>
  </si>
  <si>
    <t xml:space="preserve">BEN-06</t>
  </si>
  <si>
    <t xml:space="preserve">Can I change plans after enrolment?</t>
  </si>
  <si>
    <t xml:space="preserve">Answer or escalate exception</t>
  </si>
  <si>
    <t xml:space="preserve">Clarify qualifying event</t>
  </si>
  <si>
    <t xml:space="preserve">Step</t>
  </si>
  <si>
    <t xml:space="preserve">Input/source</t>
  </si>
  <si>
    <t xml:space="preserve">Prompt or design decision</t>
  </si>
  <si>
    <t xml:space="preserve">AI/output summary</t>
  </si>
  <si>
    <t xml:space="preserve">Human verification</t>
  </si>
  <si>
    <t xml:space="preserve">Revision/action</t>
  </si>
  <si>
    <t xml:space="preserve">Owner</t>
  </si>
  <si>
    <t xml:space="preserve">Status</t>
  </si>
  <si>
    <t xml:space="preserve">Classify the supplied benefits intents as answer, retrieve, transact or escalate.</t>
  </si>
  <si>
    <t xml:space="preserve">Learner</t>
  </si>
  <si>
    <t xml:space="preserve">Not started</t>
  </si>
  <si>
    <t xml:space="preserve">Map the minimum knowledge and personal data needed for each intent.</t>
  </si>
  <si>
    <t xml:space="preserve">Create grounded responses for general coverage and enrolment questions.</t>
  </si>
  <si>
    <t xml:space="preserve">Design an authenticated tool for personal status retrieval using least privilege.</t>
  </si>
  <si>
    <t xml:space="preserve">Add refusal and escalation patterns for claims disputes, medical details and ambiguous eligibility.</t>
  </si>
  <si>
    <t xml:space="preserve">Test cross-employee data leakage, prompt injection, outdated plans and connector failure.</t>
  </si>
  <si>
    <t xml:space="preserve">Record resolution, citation, escalation and employee feedback.</t>
  </si>
  <si>
    <t xml:space="preserve">Estimate first-contact resolution and HR administrative time returned.</t>
  </si>
  <si>
    <t xml:space="preserve">Criterion</t>
  </si>
  <si>
    <t xml:space="preserve">Weight</t>
  </si>
  <si>
    <t xml:space="preserve">Evidence score (0-5)</t>
  </si>
  <si>
    <t xml:space="preserve">Weighted result</t>
  </si>
  <si>
    <t xml:space="preserve">Notes</t>
  </si>
  <si>
    <t xml:space="preserve">Outcome fit</t>
  </si>
  <si>
    <t xml:space="preserve">Evidence traceability</t>
  </si>
  <si>
    <t xml:space="preserve">Human control</t>
  </si>
  <si>
    <t xml:space="preserve">Privacy/fairness/security</t>
  </si>
  <si>
    <t xml:space="preserve">Usability</t>
  </si>
  <si>
    <t xml:space="preserve">Total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</si>
</sst>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0C2340"/>
        <bgColor rgb="FF333333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0C2340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C2340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42"/>
  </cols>
  <sheetData>
    <row r="1" customFormat="false" ht="15" hidden="false" customHeight="false" outlineLevel="0" collapsed="false">
      <c r="A1" s="1" t="s">
        <v>0</v>
      </c>
      <c r="B1" s="1" t="s">
        <v>1</v>
      </c>
    </row>
    <row r="2" customFormat="false" ht="57.45" hidden="false" customHeight="false" outlineLevel="0" collapsed="false">
      <c r="A2" s="2" t="s">
        <v>2</v>
      </c>
      <c r="B2" s="2" t="s">
        <v>3</v>
      </c>
    </row>
    <row r="3" customFormat="false" ht="35.05" hidden="false" customHeight="false" outlineLevel="0" collapsed="false">
      <c r="A3" s="2" t="s">
        <v>4</v>
      </c>
      <c r="B3" s="2" t="s">
        <v>5</v>
      </c>
    </row>
    <row r="4" customFormat="false" ht="23.85" hidden="false" customHeight="false" outlineLevel="0" collapsed="false">
      <c r="A4" s="2" t="s">
        <v>6</v>
      </c>
      <c r="B4" s="2" t="s">
        <v>7</v>
      </c>
    </row>
    <row r="5" customFormat="false" ht="23.85" hidden="false" customHeight="false" outlineLevel="0" collapsed="false">
      <c r="A5" s="2" t="s">
        <v>8</v>
      </c>
      <c r="B5" s="2" t="s">
        <v>9</v>
      </c>
    </row>
  </sheetData>
  <autoFilter ref="A1:B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31.45"/>
    <col collapsed="false" customWidth="true" hidden="false" outlineLevel="0" max="3" min="3" style="0" width="13"/>
    <col collapsed="false" customWidth="true" hidden="false" outlineLevel="0" max="4" min="4" style="0" width="19.55"/>
    <col collapsed="false" customWidth="true" hidden="false" outlineLevel="0" max="5" min="5" style="0" width="15.3"/>
    <col collapsed="false" customWidth="true" hidden="false" outlineLevel="0" max="6" min="6" style="0" width="23.8"/>
    <col collapsed="false" customWidth="true" hidden="false" outlineLevel="0" max="7" min="7" style="0" width="22.95"/>
  </cols>
  <sheetData>
    <row r="1" customFormat="false" ht="26.85" hidden="false" customHeight="false" outlineLevel="0" collapsed="false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</row>
    <row r="2" customFormat="false" ht="23.85" hidden="false" customHeight="false" outlineLevel="0" collapsed="false">
      <c r="A2" s="2" t="s">
        <v>17</v>
      </c>
      <c r="B2" s="2" t="s">
        <v>18</v>
      </c>
      <c r="C2" s="2" t="s">
        <v>19</v>
      </c>
      <c r="D2" s="2" t="s">
        <v>20</v>
      </c>
      <c r="E2" s="2" t="s">
        <v>21</v>
      </c>
      <c r="F2" s="2" t="s">
        <v>22</v>
      </c>
      <c r="G2" s="2" t="s">
        <v>23</v>
      </c>
    </row>
    <row r="3" customFormat="false" ht="15" hidden="false" customHeight="false" outlineLevel="0" collapsed="false">
      <c r="A3" s="2" t="s">
        <v>24</v>
      </c>
      <c r="B3" s="2" t="s">
        <v>25</v>
      </c>
      <c r="C3" s="2" t="s">
        <v>26</v>
      </c>
      <c r="D3" s="2" t="s">
        <v>27</v>
      </c>
      <c r="E3" s="2" t="s">
        <v>28</v>
      </c>
      <c r="F3" s="2" t="s">
        <v>29</v>
      </c>
      <c r="G3" s="2" t="s">
        <v>30</v>
      </c>
    </row>
    <row r="4" customFormat="false" ht="23.85" hidden="false" customHeight="false" outlineLevel="0" collapsed="false">
      <c r="A4" s="2" t="s">
        <v>31</v>
      </c>
      <c r="B4" s="2" t="s">
        <v>32</v>
      </c>
      <c r="C4" s="2" t="s">
        <v>33</v>
      </c>
      <c r="D4" s="2" t="s">
        <v>27</v>
      </c>
      <c r="E4" s="2" t="s">
        <v>34</v>
      </c>
      <c r="F4" s="2" t="s">
        <v>35</v>
      </c>
      <c r="G4" s="2" t="s">
        <v>36</v>
      </c>
    </row>
    <row r="5" customFormat="false" ht="23.85" hidden="false" customHeight="false" outlineLevel="0" collapsed="false">
      <c r="A5" s="2" t="s">
        <v>37</v>
      </c>
      <c r="B5" s="2" t="s">
        <v>38</v>
      </c>
      <c r="C5" s="2" t="s">
        <v>26</v>
      </c>
      <c r="D5" s="2" t="s">
        <v>27</v>
      </c>
      <c r="E5" s="2" t="s">
        <v>39</v>
      </c>
      <c r="F5" s="2" t="s">
        <v>40</v>
      </c>
      <c r="G5" s="2" t="s">
        <v>41</v>
      </c>
    </row>
    <row r="6" customFormat="false" ht="15" hidden="false" customHeight="false" outlineLevel="0" collapsed="false">
      <c r="A6" s="2" t="s">
        <v>42</v>
      </c>
      <c r="B6" s="2" t="s">
        <v>43</v>
      </c>
      <c r="C6" s="2" t="s">
        <v>44</v>
      </c>
      <c r="D6" s="2" t="s">
        <v>20</v>
      </c>
      <c r="E6" s="2" t="s">
        <v>39</v>
      </c>
      <c r="F6" s="2" t="s">
        <v>45</v>
      </c>
      <c r="G6" s="2" t="s">
        <v>46</v>
      </c>
    </row>
    <row r="7" customFormat="false" ht="23.85" hidden="false" customHeight="false" outlineLevel="0" collapsed="false">
      <c r="A7" s="2" t="s">
        <v>47</v>
      </c>
      <c r="B7" s="2" t="s">
        <v>48</v>
      </c>
      <c r="C7" s="2" t="s">
        <v>19</v>
      </c>
      <c r="D7" s="2" t="s">
        <v>20</v>
      </c>
      <c r="E7" s="2" t="s">
        <v>21</v>
      </c>
      <c r="F7" s="2" t="s">
        <v>49</v>
      </c>
      <c r="G7" s="2" t="s">
        <v>50</v>
      </c>
    </row>
  </sheetData>
  <autoFilter ref="A1:G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42"/>
    <col collapsed="false" customWidth="true" hidden="false" outlineLevel="0" max="3" min="3" style="0" width="21.25"/>
    <col collapsed="false" customWidth="true" hidden="false" outlineLevel="0" max="4" min="4" style="0" width="14.45"/>
    <col collapsed="false" customWidth="true" hidden="false" outlineLevel="0" max="5" min="5" style="0" width="15.3"/>
    <col collapsed="false" customWidth="true" hidden="false" outlineLevel="0" max="8" min="6" style="0" width="13"/>
  </cols>
  <sheetData>
    <row r="1" customFormat="false" ht="26.85" hidden="false" customHeight="false" outlineLevel="0" collapsed="false">
      <c r="A1" s="1" t="s">
        <v>51</v>
      </c>
      <c r="B1" s="1" t="s">
        <v>52</v>
      </c>
      <c r="C1" s="1" t="s">
        <v>53</v>
      </c>
      <c r="D1" s="1" t="s">
        <v>54</v>
      </c>
      <c r="E1" s="1" t="s">
        <v>55</v>
      </c>
      <c r="F1" s="1" t="s">
        <v>56</v>
      </c>
      <c r="G1" s="1" t="s">
        <v>57</v>
      </c>
      <c r="H1" s="1" t="s">
        <v>58</v>
      </c>
    </row>
    <row r="2" customFormat="false" ht="23.85" hidden="false" customHeight="false" outlineLevel="0" collapsed="false">
      <c r="A2" s="2" t="n">
        <v>1</v>
      </c>
      <c r="B2" s="2" t="s">
        <v>59</v>
      </c>
      <c r="C2" s="2"/>
      <c r="D2" s="2"/>
      <c r="E2" s="2"/>
      <c r="F2" s="2"/>
      <c r="G2" s="2" t="s">
        <v>60</v>
      </c>
      <c r="H2" s="2" t="s">
        <v>61</v>
      </c>
    </row>
    <row r="3" customFormat="false" ht="23.85" hidden="false" customHeight="false" outlineLevel="0" collapsed="false">
      <c r="A3" s="2" t="n">
        <v>2</v>
      </c>
      <c r="B3" s="2" t="s">
        <v>62</v>
      </c>
      <c r="C3" s="2"/>
      <c r="D3" s="2"/>
      <c r="E3" s="2"/>
      <c r="F3" s="2"/>
      <c r="G3" s="2" t="s">
        <v>60</v>
      </c>
      <c r="H3" s="2" t="s">
        <v>61</v>
      </c>
    </row>
    <row r="4" customFormat="false" ht="23.85" hidden="false" customHeight="false" outlineLevel="0" collapsed="false">
      <c r="A4" s="2" t="n">
        <v>3</v>
      </c>
      <c r="B4" s="2" t="s">
        <v>63</v>
      </c>
      <c r="C4" s="2"/>
      <c r="D4" s="2"/>
      <c r="E4" s="2"/>
      <c r="F4" s="2"/>
      <c r="G4" s="2" t="s">
        <v>60</v>
      </c>
      <c r="H4" s="2" t="s">
        <v>61</v>
      </c>
    </row>
    <row r="5" customFormat="false" ht="23.85" hidden="false" customHeight="false" outlineLevel="0" collapsed="false">
      <c r="A5" s="2" t="n">
        <v>4</v>
      </c>
      <c r="B5" s="2" t="s">
        <v>64</v>
      </c>
      <c r="C5" s="2"/>
      <c r="D5" s="2"/>
      <c r="E5" s="2"/>
      <c r="F5" s="2"/>
      <c r="G5" s="2" t="s">
        <v>60</v>
      </c>
      <c r="H5" s="2" t="s">
        <v>61</v>
      </c>
    </row>
    <row r="6" customFormat="false" ht="23.85" hidden="false" customHeight="false" outlineLevel="0" collapsed="false">
      <c r="A6" s="2" t="n">
        <v>5</v>
      </c>
      <c r="B6" s="2" t="s">
        <v>65</v>
      </c>
      <c r="C6" s="2"/>
      <c r="D6" s="2"/>
      <c r="E6" s="2"/>
      <c r="F6" s="2"/>
      <c r="G6" s="2" t="s">
        <v>60</v>
      </c>
      <c r="H6" s="2" t="s">
        <v>61</v>
      </c>
    </row>
    <row r="7" customFormat="false" ht="23.85" hidden="false" customHeight="false" outlineLevel="0" collapsed="false">
      <c r="A7" s="2" t="n">
        <v>6</v>
      </c>
      <c r="B7" s="2" t="s">
        <v>66</v>
      </c>
      <c r="C7" s="2"/>
      <c r="D7" s="2"/>
      <c r="E7" s="2"/>
      <c r="F7" s="2"/>
      <c r="G7" s="2" t="s">
        <v>60</v>
      </c>
      <c r="H7" s="2" t="s">
        <v>61</v>
      </c>
    </row>
    <row r="8" customFormat="false" ht="23.85" hidden="false" customHeight="false" outlineLevel="0" collapsed="false">
      <c r="A8" s="2" t="n">
        <v>7</v>
      </c>
      <c r="B8" s="2" t="s">
        <v>67</v>
      </c>
      <c r="C8" s="2"/>
      <c r="D8" s="2"/>
      <c r="E8" s="2"/>
      <c r="F8" s="2"/>
      <c r="G8" s="2" t="s">
        <v>60</v>
      </c>
      <c r="H8" s="2" t="s">
        <v>61</v>
      </c>
    </row>
    <row r="9" customFormat="false" ht="23.85" hidden="false" customHeight="false" outlineLevel="0" collapsed="false">
      <c r="A9" s="2" t="n">
        <v>8</v>
      </c>
      <c r="B9" s="2" t="s">
        <v>68</v>
      </c>
      <c r="C9" s="2"/>
      <c r="D9" s="2"/>
      <c r="E9" s="2"/>
      <c r="F9" s="2"/>
      <c r="G9" s="2" t="s">
        <v>60</v>
      </c>
      <c r="H9" s="2" t="s">
        <v>61</v>
      </c>
    </row>
  </sheetData>
  <autoFilter ref="A1:H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1.25"/>
    <col collapsed="false" customWidth="true" hidden="false" outlineLevel="0" max="2" min="2" style="0" width="13"/>
    <col collapsed="false" customWidth="true" hidden="false" outlineLevel="0" max="3" min="3" style="0" width="17"/>
    <col collapsed="false" customWidth="true" hidden="false" outlineLevel="0" max="4" min="4" style="0" width="17.85"/>
    <col collapsed="false" customWidth="true" hidden="false" outlineLevel="0" max="5" min="5" style="0" width="13"/>
  </cols>
  <sheetData>
    <row r="1" customFormat="false" ht="26.85" hidden="false" customHeight="false" outlineLevel="0" collapsed="false">
      <c r="A1" s="1" t="s">
        <v>69</v>
      </c>
      <c r="B1" s="1" t="s">
        <v>70</v>
      </c>
      <c r="C1" s="1" t="s">
        <v>71</v>
      </c>
      <c r="D1" s="1" t="s">
        <v>72</v>
      </c>
      <c r="E1" s="1" t="s">
        <v>73</v>
      </c>
    </row>
    <row r="2" customFormat="false" ht="15" hidden="false" customHeight="false" outlineLevel="0" collapsed="false">
      <c r="A2" s="2" t="s">
        <v>74</v>
      </c>
      <c r="B2" s="2" t="n">
        <v>25</v>
      </c>
      <c r="C2" s="2"/>
      <c r="D2" s="2" t="str">
        <f aca="false">IF(C2="","",B2*C2/5)</f>
        <v/>
      </c>
      <c r="E2" s="2"/>
    </row>
    <row r="3" customFormat="false" ht="15" hidden="false" customHeight="false" outlineLevel="0" collapsed="false">
      <c r="A3" s="2" t="s">
        <v>75</v>
      </c>
      <c r="B3" s="2" t="n">
        <v>25</v>
      </c>
      <c r="C3" s="2"/>
      <c r="D3" s="2" t="str">
        <f aca="false">IF(C3="","",B3*C3/5)</f>
        <v/>
      </c>
      <c r="E3" s="2"/>
    </row>
    <row r="4" customFormat="false" ht="15" hidden="false" customHeight="false" outlineLevel="0" collapsed="false">
      <c r="A4" s="2" t="s">
        <v>76</v>
      </c>
      <c r="B4" s="2" t="n">
        <v>20</v>
      </c>
      <c r="C4" s="2"/>
      <c r="D4" s="2" t="str">
        <f aca="false">IF(C4="","",B4*C4/5)</f>
        <v/>
      </c>
      <c r="E4" s="2"/>
    </row>
    <row r="5" customFormat="false" ht="15" hidden="false" customHeight="false" outlineLevel="0" collapsed="false">
      <c r="A5" s="2" t="s">
        <v>77</v>
      </c>
      <c r="B5" s="2" t="n">
        <v>20</v>
      </c>
      <c r="C5" s="2"/>
      <c r="D5" s="2" t="str">
        <f aca="false">IF(C5="","",B5*C5/5)</f>
        <v/>
      </c>
      <c r="E5" s="2"/>
    </row>
    <row r="6" customFormat="false" ht="15" hidden="false" customHeight="false" outlineLevel="0" collapsed="false">
      <c r="A6" s="2" t="s">
        <v>78</v>
      </c>
      <c r="B6" s="2" t="n">
        <v>10</v>
      </c>
      <c r="C6" s="2"/>
      <c r="D6" s="2" t="str">
        <f aca="false">IF(C6="","",B6*C6/5)</f>
        <v/>
      </c>
      <c r="E6" s="2"/>
    </row>
    <row r="7" customFormat="false" ht="15" hidden="false" customHeight="false" outlineLevel="0" collapsed="false">
      <c r="A7" s="2" t="s">
        <v>79</v>
      </c>
      <c r="B7" s="2" t="n">
        <v>100</v>
      </c>
      <c r="C7" s="2"/>
      <c r="D7" s="2" t="n">
        <f aca="false">SUM(D2:D6)</f>
        <v>0</v>
      </c>
      <c r="E7" s="2"/>
    </row>
  </sheetData>
  <autoFilter ref="A1:E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LibreOffice/26.2.4.2$MacOSX_AARCH64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2026-08-16T03:36:24Z</dcterms:created>
  <dc:creator>openpyxl</dc:creator>
  <dc:description/>
  <dc:language>en-SG</dc:language>
  <cp:lastModifiedBy/>
  <dcterms:modified xsi:type="dcterms:W3CDTF">2026-08-16T03:36:24Z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